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40E1A15A-1FCB-41AA-92E2-2D4ADBB9E0B7}" xr6:coauthVersionLast="47" xr6:coauthVersionMax="47" xr10:uidLastSave="{00000000-0000-0000-0000-000000000000}"/>
  <bookViews>
    <workbookView xWindow="-110" yWindow="-110" windowWidth="19420" windowHeight="10300" xr2:uid="{00000000-000D-0000-FFFF-FFFF00000000}"/>
  </bookViews>
  <sheets>
    <sheet name="Gantt chart" sheetId="11" r:id="rId1"/>
    <sheet name="Info" sheetId="12" r:id="rId2"/>
  </sheets>
  <definedNames>
    <definedName name="Anzeigewoche">'Gantt chart'!$E$4</definedName>
    <definedName name="Heute" localSheetId="0">TODAY()</definedName>
    <definedName name="_xlnm.Print_Titles" localSheetId="0">'Gantt chart'!$4:$6</definedName>
    <definedName name="Projektanfang">'Gantt chart'!$E$3</definedName>
    <definedName name="task_end" localSheetId="0">'Gantt chart'!$F1</definedName>
    <definedName name="task_progress" localSheetId="0">'Gantt chart'!$D1</definedName>
    <definedName name="task_start" localSheetId="0">'Gantt chart'!$E1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1" l="1"/>
  <c r="E15" i="11"/>
  <c r="F15" i="11"/>
  <c r="E16" i="11"/>
  <c r="F16" i="11"/>
  <c r="E17" i="11"/>
  <c r="F17" i="11"/>
  <c r="E18" i="11"/>
  <c r="F18" i="11"/>
  <c r="H7" i="11"/>
  <c r="E9" i="11" l="1"/>
  <c r="F9" i="11" s="1"/>
  <c r="E10" i="11" s="1"/>
  <c r="F10" i="11" s="1"/>
  <c r="E11" i="11" s="1"/>
  <c r="F11" i="11" s="1"/>
  <c r="E12" i="11" l="1"/>
  <c r="F12" i="11" s="1"/>
  <c r="E13" i="11"/>
  <c r="F13" i="11"/>
  <c r="E14" i="11" s="1"/>
  <c r="I5" i="11"/>
  <c r="I6" i="11" s="1"/>
  <c r="H21" i="11"/>
  <c r="H19" i="11"/>
  <c r="H8" i="11"/>
  <c r="F14" i="11" l="1"/>
  <c r="H9" i="11"/>
  <c r="H10" i="11" l="1"/>
  <c r="H13" i="11"/>
  <c r="J5" i="11"/>
  <c r="I4" i="11"/>
  <c r="K5" i="11" l="1"/>
  <c r="J6" i="11"/>
  <c r="H11" i="11"/>
  <c r="H12" i="11"/>
  <c r="L5" i="11" l="1"/>
  <c r="K6"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l="1"/>
  <c r="BM5" i="11"/>
  <c r="BM4" i="11" l="1"/>
  <c r="BM6" i="11"/>
  <c r="BN5" i="11"/>
  <c r="BN6" i="11" l="1"/>
  <c r="BO5" i="11"/>
  <c r="BO6" i="11" l="1"/>
  <c r="BP5" i="11"/>
  <c r="BP6" i="11" l="1"/>
  <c r="BQ5" i="11"/>
  <c r="BQ6" i="11" l="1"/>
  <c r="BR5" i="11"/>
  <c r="BS5" i="11" l="1"/>
  <c r="BR6" i="11"/>
  <c r="BT5" i="11" l="1"/>
  <c r="BS6" i="11"/>
  <c r="BT4" i="11" l="1"/>
  <c r="BT6" i="11"/>
  <c r="BU5" i="11"/>
  <c r="BU6" i="11" l="1"/>
  <c r="BV5" i="11"/>
  <c r="BV6" i="11" l="1"/>
  <c r="BW5" i="11"/>
  <c r="BW6" i="11" l="1"/>
  <c r="BX5" i="11"/>
  <c r="BX6" i="11" l="1"/>
  <c r="BY5" i="11"/>
  <c r="BY6" i="11" l="1"/>
  <c r="BZ5" i="11"/>
  <c r="BZ6" i="11" l="1"/>
</calcChain>
</file>

<file path=xl/sharedStrings.xml><?xml version="1.0" encoding="utf-8"?>
<sst xmlns="http://schemas.openxmlformats.org/spreadsheetml/2006/main" count="67" uniqueCount="55">
  <si>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</si>
  <si>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In-Game-Purchase behavior</t>
  </si>
  <si>
    <t>Geben Sie den Firmennamen in Zelle B2 ein.</t>
  </si>
  <si>
    <t>Geben Sie den Namen des Projektleiters in Zelle B3 ein. Geben Sie das Startdatum für das Projekt in Zelle E3 ein. Start des Projekts: Die Bezeichnung steht in Zelle C3.</t>
  </si>
  <si>
    <t>Project start:</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</si>
  <si>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</si>
  <si>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Display week</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</si>
  <si>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</si>
  <si>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</si>
  <si>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Phase and Task</t>
  </si>
  <si>
    <t>Assigned to</t>
  </si>
  <si>
    <t>Progress</t>
  </si>
  <si>
    <t>Start</t>
  </si>
  <si>
    <t>End</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</si>
  <si>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</si>
  <si>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</si>
  <si>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</si>
  <si>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Phase 1 - Project Initiation and Planning</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</si>
  <si>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</si>
  <si>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All</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</si>
  <si>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</si>
  <si>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Arjun Mod</t>
  </si>
  <si>
    <t>Daniel Arias</t>
  </si>
  <si>
    <t>Dies ist eine leere Zeile.</t>
  </si>
  <si>
    <t>Diese Zeile kennzeichnet das Ende des Projektplans. Geben Sie in dieser Zeile NICHTS EIN. 
Fügen Sie ÜBER dieser Zeile neue Zeilen ein, um mit der Erstellung Ihres Projektplans fortzufahren.</t>
  </si>
  <si>
    <t>Insert new lines above this one</t>
  </si>
  <si>
    <t>EINFACHES GANTT-DIAGRAMM von Vertex42.com</t>
  </si>
  <si>
    <t>https://www.vertex42.com/ExcelTemplates/simple-gantt-chart.html</t>
  </si>
  <si>
    <t>Members</t>
  </si>
  <si>
    <t>Ye Weican</t>
  </si>
  <si>
    <t>Nikhilesh Krishnamurthy</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</si>
  <si>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</si>
  <si>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</si>
  <si>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</si>
  <si>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</si>
  <si>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</si>
  <si>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</si>
  <si>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</si>
  <si>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</si>
  <si>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</si>
  <si>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</si>
  <si>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</si>
  <si>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</si>
  <si>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</si>
  <si>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Project Planning</t>
  </si>
  <si>
    <t>Initialization</t>
  </si>
  <si>
    <t>Data Modeling</t>
  </si>
  <si>
    <t>Data Visualization</t>
  </si>
  <si>
    <t>Insights</t>
  </si>
  <si>
    <t>Conclusions</t>
  </si>
  <si>
    <t>Data Engineering</t>
  </si>
  <si>
    <t>Discussions and additions</t>
  </si>
  <si>
    <t>Final setup and alignment</t>
  </si>
  <si>
    <t>Presentation</t>
  </si>
  <si>
    <t>Today's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</si>
</sst>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m\.yy;@"/>
    <numFmt numFmtId="167" formatCode="ddd\,\ d/m/yyyy"/>
    <numFmt numFmtId="168" formatCode="d/m/yy;@"/>
    <numFmt numFmtId="169" formatCode="d/\ mmm\ yyyy"/>
    <numFmt numFmtId="170"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8" borderId="0" applyNumberFormat="0" applyBorder="0" applyAlignment="0" applyProtection="0"/>
    <xf numFmtId="0" fontId="28" fillId="9" borderId="0" applyNumberFormat="0" applyBorder="0" applyAlignment="0" applyProtection="0"/>
    <xf numFmtId="0" fontId="29" fillId="10" borderId="0" applyNumberFormat="0" applyBorder="0" applyAlignment="0" applyProtection="0"/>
    <xf numFmtId="0" fontId="30" fillId="11" borderId="11" applyNumberFormat="0" applyAlignment="0" applyProtection="0"/>
    <xf numFmtId="0" fontId="31" fillId="12" borderId="12" applyNumberFormat="0" applyAlignment="0" applyProtection="0"/>
    <xf numFmtId="0" fontId="32" fillId="12" borderId="11" applyNumberFormat="0" applyAlignment="0" applyProtection="0"/>
    <xf numFmtId="0" fontId="33" fillId="0" borderId="13" applyNumberFormat="0" applyFill="0" applyAlignment="0" applyProtection="0"/>
    <xf numFmtId="0" fontId="34" fillId="13" borderId="14" applyNumberFormat="0" applyAlignment="0" applyProtection="0"/>
    <xf numFmtId="0" fontId="35" fillId="0" borderId="0" applyNumberFormat="0" applyFill="0" applyBorder="0" applyAlignment="0" applyProtection="0"/>
    <xf numFmtId="0" fontId="9" fillId="14"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cellStyleXfs>
  <cellXfs count="7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5"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3"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4" borderId="6" xfId="0" applyNumberFormat="1" applyFont="1" applyFill="1" applyBorder="1" applyAlignment="1">
      <alignment horizontal="center" vertical="center"/>
    </xf>
    <xf numFmtId="170" fontId="11" fillId="4" borderId="0" xfId="0" applyNumberFormat="1" applyFont="1" applyFill="1" applyAlignment="1">
      <alignment horizontal="center" vertical="center"/>
    </xf>
    <xf numFmtId="170" fontId="11" fillId="4" borderId="7" xfId="0" applyNumberFormat="1" applyFont="1" applyFill="1" applyBorder="1" applyAlignment="1">
      <alignment horizontal="center" vertical="center"/>
    </xf>
    <xf numFmtId="14" fontId="0" fillId="0" borderId="0" xfId="0" applyNumberFormat="1" applyAlignment="1">
      <alignment horizontal="center"/>
    </xf>
    <xf numFmtId="169" fontId="0" fillId="4" borderId="4" xfId="0" applyNumberFormat="1" applyFill="1" applyBorder="1" applyAlignment="1">
      <alignment horizontal="left" vertical="center" wrapText="1" indent="1"/>
    </xf>
    <xf numFmtId="169" fontId="0" fillId="4" borderId="1" xfId="0" applyNumberFormat="1" applyFill="1" applyBorder="1" applyAlignment="1">
      <alignment horizontal="left" vertical="center" wrapText="1" indent="1"/>
    </xf>
    <xf numFmtId="169" fontId="0" fillId="4"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7" fontId="9" fillId="0" borderId="3" xfId="9">
      <alignment horizontal="center" vertical="center"/>
    </xf>
    <xf numFmtId="0" fontId="6" fillId="3" borderId="2" xfId="12" applyFont="1" applyFill="1">
      <alignment horizontal="left" vertical="center" indent="2"/>
    </xf>
    <xf numFmtId="0" fontId="6" fillId="3" borderId="2" xfId="12" applyFont="1" applyFill="1" applyAlignment="1">
      <alignment horizontal="left" vertical="center" wrapText="1" indent="2"/>
    </xf>
    <xf numFmtId="14" fontId="0" fillId="0" borderId="3" xfId="0" applyNumberFormat="1" applyBorder="1" applyAlignmen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ufgabe"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um"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ktanfang" xfId="9" xr:uid="{8EB8A09A-C31C-40A3-B2C1-9449520178B8}"/>
    <cellStyle name="Title" xfId="5" builtinId="15" customBuiltin="1"/>
    <cellStyle name="Total" xfId="29" builtinId="25" customBuiltin="1"/>
    <cellStyle name="Warning Text" xfId="26" builtinId="11" customBuiltin="1"/>
    <cellStyle name="zAusgeblText" xfId="3" xr:uid="{26E66EE6-E33F-4D77-BAE4-0FB4F5BBF673}"/>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29"/>
  <sheetViews>
    <sheetView showGridLines="0" tabSelected="1" showRuler="0" zoomScale="61" zoomScaleNormal="49" zoomScalePageLayoutView="70" workbookViewId="0">
      <pane ySplit="6" topLeftCell="A9" activePane="bottomLeft" state="frozen"/>
      <selection pane="bottomLeft" activeCell="BY1" sqref="BY1"/>
    </sheetView>
  </sheetViews>
  <sheetFormatPr defaultColWidth="9.1796875" defaultRowHeight="30" customHeight="1" x14ac:dyDescent="0.35"/>
  <cols>
    <col min="1" max="1" width="2.7265625" style="36" customWidth="1"/>
    <col min="2" max="2" width="38" customWidth="1"/>
    <col min="3" max="3" width="22.453125" customWidth="1"/>
    <col min="4" max="4" width="10.7265625" customWidth="1"/>
    <col min="5" max="5" width="10.453125" style="5" customWidth="1"/>
    <col min="6" max="6" width="10.453125" customWidth="1"/>
    <col min="7" max="7" width="2.7265625" customWidth="1"/>
    <col min="8" max="8" width="6.1796875" hidden="1" customWidth="1"/>
    <col min="9" max="12" width="3.08984375" bestFit="1" customWidth="1"/>
    <col min="13" max="64" width="2.54296875" customWidth="1"/>
    <col min="65" max="73" width="2.81640625" bestFit="1" customWidth="1"/>
    <col min="74" max="74" width="2.453125" bestFit="1" customWidth="1"/>
    <col min="75" max="75" width="2.1796875" bestFit="1" customWidth="1"/>
    <col min="76" max="78" width="2" bestFit="1" customWidth="1"/>
  </cols>
  <sheetData>
    <row r="1" spans="1:78" ht="30" customHeight="1" x14ac:dyDescent="0.65">
      <c r="A1" s="37" t="s">
        <v>0</v>
      </c>
      <c r="B1" s="40" t="s">
        <v>1</v>
      </c>
      <c r="C1" s="1"/>
      <c r="D1" s="2"/>
      <c r="E1" s="4"/>
      <c r="F1" s="25"/>
      <c r="H1" s="2"/>
    </row>
    <row r="2" spans="1:78" ht="30" customHeight="1" x14ac:dyDescent="0.45">
      <c r="A2" s="36" t="s">
        <v>2</v>
      </c>
      <c r="B2" s="41"/>
      <c r="E2" s="60"/>
    </row>
    <row r="3" spans="1:78" ht="30" customHeight="1" x14ac:dyDescent="0.35">
      <c r="A3" s="36" t="s">
        <v>3</v>
      </c>
      <c r="B3" s="42" t="s">
        <v>54</v>
      </c>
      <c r="C3" s="64" t="s">
        <v>4</v>
      </c>
      <c r="D3" s="65"/>
      <c r="E3" s="66">
        <v>46144</v>
      </c>
      <c r="F3" s="66"/>
    </row>
    <row r="4" spans="1:78" ht="30" customHeight="1" x14ac:dyDescent="0.35">
      <c r="A4" s="37" t="s">
        <v>5</v>
      </c>
      <c r="B4" s="69">
        <f ca="1">TODAY()</f>
        <v>46171</v>
      </c>
      <c r="C4" s="64" t="s">
        <v>6</v>
      </c>
      <c r="D4" s="65"/>
      <c r="E4" s="7">
        <v>1</v>
      </c>
      <c r="I4" s="61">
        <f>I5</f>
        <v>46139</v>
      </c>
      <c r="J4" s="62"/>
      <c r="K4" s="62"/>
      <c r="L4" s="62"/>
      <c r="M4" s="62"/>
      <c r="N4" s="62"/>
      <c r="O4" s="63"/>
      <c r="P4" s="61">
        <f>P5</f>
        <v>46146</v>
      </c>
      <c r="Q4" s="62"/>
      <c r="R4" s="62"/>
      <c r="S4" s="62"/>
      <c r="T4" s="62"/>
      <c r="U4" s="62"/>
      <c r="V4" s="63"/>
      <c r="W4" s="61">
        <f>W5</f>
        <v>46153</v>
      </c>
      <c r="X4" s="62"/>
      <c r="Y4" s="62"/>
      <c r="Z4" s="62"/>
      <c r="AA4" s="62"/>
      <c r="AB4" s="62"/>
      <c r="AC4" s="63"/>
      <c r="AD4" s="61">
        <f>AD5</f>
        <v>46160</v>
      </c>
      <c r="AE4" s="62"/>
      <c r="AF4" s="62"/>
      <c r="AG4" s="62"/>
      <c r="AH4" s="62"/>
      <c r="AI4" s="62"/>
      <c r="AJ4" s="63"/>
      <c r="AK4" s="61">
        <f>AK5</f>
        <v>46167</v>
      </c>
      <c r="AL4" s="62"/>
      <c r="AM4" s="62"/>
      <c r="AN4" s="62"/>
      <c r="AO4" s="62"/>
      <c r="AP4" s="62"/>
      <c r="AQ4" s="63"/>
      <c r="AR4" s="61">
        <f>AR5</f>
        <v>46174</v>
      </c>
      <c r="AS4" s="62"/>
      <c r="AT4" s="62"/>
      <c r="AU4" s="62"/>
      <c r="AV4" s="62"/>
      <c r="AW4" s="62"/>
      <c r="AX4" s="63"/>
      <c r="AY4" s="61">
        <f>AY5</f>
        <v>46181</v>
      </c>
      <c r="AZ4" s="62"/>
      <c r="BA4" s="62"/>
      <c r="BB4" s="62"/>
      <c r="BC4" s="62"/>
      <c r="BD4" s="62"/>
      <c r="BE4" s="63"/>
      <c r="BF4" s="61">
        <f>BF5</f>
        <v>46188</v>
      </c>
      <c r="BG4" s="62"/>
      <c r="BH4" s="62"/>
      <c r="BI4" s="62"/>
      <c r="BJ4" s="62"/>
      <c r="BK4" s="62"/>
      <c r="BL4" s="63"/>
      <c r="BM4" s="61">
        <f>BM5</f>
        <v>46195</v>
      </c>
      <c r="BN4" s="62"/>
      <c r="BO4" s="62"/>
      <c r="BP4" s="62"/>
      <c r="BQ4" s="62"/>
      <c r="BR4" s="62"/>
      <c r="BS4" s="63"/>
      <c r="BT4" s="61">
        <f>BT5</f>
        <v>46202</v>
      </c>
      <c r="BU4" s="62"/>
      <c r="BV4" s="62"/>
      <c r="BW4" s="62"/>
      <c r="BX4" s="62"/>
      <c r="BY4" s="62"/>
      <c r="BZ4" s="63"/>
    </row>
    <row r="5" spans="1:78" ht="15" customHeight="1" x14ac:dyDescent="0.35">
      <c r="A5" s="37" t="s">
        <v>7</v>
      </c>
      <c r="B5" s="47"/>
      <c r="C5" s="47"/>
      <c r="D5" s="47"/>
      <c r="E5" s="47"/>
      <c r="F5" s="47"/>
      <c r="G5" s="47"/>
      <c r="I5" s="57">
        <f>Projektanfang-WEEKDAY(Projektanfang,1)+2+7*(Anzeigewoche-1)</f>
        <v>46139</v>
      </c>
      <c r="J5" s="58">
        <f>I5+1</f>
        <v>46140</v>
      </c>
      <c r="K5" s="58">
        <f t="shared" ref="K5:AX5" si="0">J5+1</f>
        <v>46141</v>
      </c>
      <c r="L5" s="58">
        <f t="shared" si="0"/>
        <v>46142</v>
      </c>
      <c r="M5" s="58">
        <f t="shared" si="0"/>
        <v>46143</v>
      </c>
      <c r="N5" s="58">
        <f t="shared" si="0"/>
        <v>46144</v>
      </c>
      <c r="O5" s="59">
        <f t="shared" si="0"/>
        <v>46145</v>
      </c>
      <c r="P5" s="57">
        <f>O5+1</f>
        <v>46146</v>
      </c>
      <c r="Q5" s="58">
        <f>P5+1</f>
        <v>46147</v>
      </c>
      <c r="R5" s="58">
        <f t="shared" si="0"/>
        <v>46148</v>
      </c>
      <c r="S5" s="58">
        <f t="shared" si="0"/>
        <v>46149</v>
      </c>
      <c r="T5" s="58">
        <f t="shared" si="0"/>
        <v>46150</v>
      </c>
      <c r="U5" s="58">
        <f t="shared" si="0"/>
        <v>46151</v>
      </c>
      <c r="V5" s="59">
        <f t="shared" si="0"/>
        <v>46152</v>
      </c>
      <c r="W5" s="57">
        <f>V5+1</f>
        <v>46153</v>
      </c>
      <c r="X5" s="58">
        <f>W5+1</f>
        <v>46154</v>
      </c>
      <c r="Y5" s="58">
        <f t="shared" si="0"/>
        <v>46155</v>
      </c>
      <c r="Z5" s="58">
        <f t="shared" si="0"/>
        <v>46156</v>
      </c>
      <c r="AA5" s="58">
        <f t="shared" si="0"/>
        <v>46157</v>
      </c>
      <c r="AB5" s="58">
        <f t="shared" si="0"/>
        <v>46158</v>
      </c>
      <c r="AC5" s="59">
        <f t="shared" si="0"/>
        <v>46159</v>
      </c>
      <c r="AD5" s="57">
        <f>AC5+1</f>
        <v>46160</v>
      </c>
      <c r="AE5" s="58">
        <f>AD5+1</f>
        <v>46161</v>
      </c>
      <c r="AF5" s="58">
        <f t="shared" si="0"/>
        <v>46162</v>
      </c>
      <c r="AG5" s="58">
        <f t="shared" si="0"/>
        <v>46163</v>
      </c>
      <c r="AH5" s="58">
        <f t="shared" si="0"/>
        <v>46164</v>
      </c>
      <c r="AI5" s="58">
        <f t="shared" si="0"/>
        <v>46165</v>
      </c>
      <c r="AJ5" s="59">
        <f t="shared" si="0"/>
        <v>46166</v>
      </c>
      <c r="AK5" s="57">
        <f>AJ5+1</f>
        <v>46167</v>
      </c>
      <c r="AL5" s="58">
        <f>AK5+1</f>
        <v>46168</v>
      </c>
      <c r="AM5" s="58">
        <f t="shared" si="0"/>
        <v>46169</v>
      </c>
      <c r="AN5" s="58">
        <f t="shared" si="0"/>
        <v>46170</v>
      </c>
      <c r="AO5" s="58">
        <f t="shared" si="0"/>
        <v>46171</v>
      </c>
      <c r="AP5" s="58">
        <f t="shared" si="0"/>
        <v>46172</v>
      </c>
      <c r="AQ5" s="59">
        <f t="shared" si="0"/>
        <v>46173</v>
      </c>
      <c r="AR5" s="57">
        <f>AQ5+1</f>
        <v>46174</v>
      </c>
      <c r="AS5" s="58">
        <f>AR5+1</f>
        <v>46175</v>
      </c>
      <c r="AT5" s="58">
        <f t="shared" si="0"/>
        <v>46176</v>
      </c>
      <c r="AU5" s="58">
        <f t="shared" si="0"/>
        <v>46177</v>
      </c>
      <c r="AV5" s="58">
        <f t="shared" si="0"/>
        <v>46178</v>
      </c>
      <c r="AW5" s="58">
        <f t="shared" si="0"/>
        <v>46179</v>
      </c>
      <c r="AX5" s="59">
        <f t="shared" si="0"/>
        <v>46180</v>
      </c>
      <c r="AY5" s="57">
        <f>AX5+1</f>
        <v>46181</v>
      </c>
      <c r="AZ5" s="58">
        <f>AY5+1</f>
        <v>46182</v>
      </c>
      <c r="BA5" s="58">
        <f t="shared" ref="BA5:BE5" si="1">AZ5+1</f>
        <v>46183</v>
      </c>
      <c r="BB5" s="58">
        <f t="shared" si="1"/>
        <v>46184</v>
      </c>
      <c r="BC5" s="58">
        <f t="shared" si="1"/>
        <v>46185</v>
      </c>
      <c r="BD5" s="58">
        <f t="shared" si="1"/>
        <v>46186</v>
      </c>
      <c r="BE5" s="59">
        <f t="shared" si="1"/>
        <v>46187</v>
      </c>
      <c r="BF5" s="57">
        <f>BE5+1</f>
        <v>46188</v>
      </c>
      <c r="BG5" s="58">
        <f>BF5+1</f>
        <v>46189</v>
      </c>
      <c r="BH5" s="58">
        <f t="shared" ref="BH5:BL5" si="2">BG5+1</f>
        <v>46190</v>
      </c>
      <c r="BI5" s="58">
        <f t="shared" si="2"/>
        <v>46191</v>
      </c>
      <c r="BJ5" s="58">
        <f t="shared" si="2"/>
        <v>46192</v>
      </c>
      <c r="BK5" s="58">
        <f t="shared" si="2"/>
        <v>46193</v>
      </c>
      <c r="BL5" s="59">
        <f t="shared" si="2"/>
        <v>46194</v>
      </c>
      <c r="BM5" s="57">
        <f>BL5+1</f>
        <v>46195</v>
      </c>
      <c r="BN5" s="58">
        <f>BM5+1</f>
        <v>46196</v>
      </c>
      <c r="BO5" s="58">
        <f t="shared" ref="BO5" si="3">BN5+1</f>
        <v>46197</v>
      </c>
      <c r="BP5" s="58">
        <f t="shared" ref="BP5" si="4">BO5+1</f>
        <v>46198</v>
      </c>
      <c r="BQ5" s="58">
        <f t="shared" ref="BQ5" si="5">BP5+1</f>
        <v>46199</v>
      </c>
      <c r="BR5" s="58">
        <f t="shared" ref="BR5" si="6">BQ5+1</f>
        <v>46200</v>
      </c>
      <c r="BS5" s="59">
        <f t="shared" ref="BS5" si="7">BR5+1</f>
        <v>46201</v>
      </c>
      <c r="BT5" s="57">
        <f>BS5+1</f>
        <v>46202</v>
      </c>
      <c r="BU5" s="58">
        <f>BT5+1</f>
        <v>46203</v>
      </c>
      <c r="BV5" s="58">
        <f t="shared" ref="BV5" si="8">BU5+1</f>
        <v>46204</v>
      </c>
      <c r="BW5" s="58">
        <f t="shared" ref="BW5" si="9">BV5+1</f>
        <v>46205</v>
      </c>
      <c r="BX5" s="58">
        <f t="shared" ref="BX5" si="10">BW5+1</f>
        <v>46206</v>
      </c>
      <c r="BY5" s="58">
        <f t="shared" ref="BY5" si="11">BX5+1</f>
        <v>46207</v>
      </c>
      <c r="BZ5" s="59">
        <f t="shared" ref="BZ5" si="12">BY5+1</f>
        <v>46208</v>
      </c>
    </row>
    <row r="6" spans="1:78" ht="30" customHeight="1" thickBot="1" x14ac:dyDescent="0.4">
      <c r="A6" s="37" t="s">
        <v>8</v>
      </c>
      <c r="B6" s="8" t="s">
        <v>9</v>
      </c>
      <c r="C6" s="9" t="s">
        <v>10</v>
      </c>
      <c r="D6" s="9" t="s">
        <v>11</v>
      </c>
      <c r="E6" s="9" t="s">
        <v>12</v>
      </c>
      <c r="F6" s="9" t="s">
        <v>13</v>
      </c>
      <c r="G6" s="9"/>
      <c r="H6" s="9" t="s">
        <v>14</v>
      </c>
      <c r="I6" s="10" t="str">
        <f t="shared" ref="I6:AN6" si="13">LEFT(TEXT(I5,"TTT"),1)</f>
        <v>T</v>
      </c>
      <c r="J6" s="10" t="str">
        <f t="shared" si="13"/>
        <v>T</v>
      </c>
      <c r="K6" s="10" t="str">
        <f t="shared" si="13"/>
        <v>T</v>
      </c>
      <c r="L6" s="10" t="str">
        <f t="shared" si="13"/>
        <v>T</v>
      </c>
      <c r="M6" s="10" t="str">
        <f t="shared" si="13"/>
        <v>T</v>
      </c>
      <c r="N6" s="10" t="str">
        <f t="shared" si="13"/>
        <v>T</v>
      </c>
      <c r="O6" s="10" t="str">
        <f t="shared" si="13"/>
        <v>T</v>
      </c>
      <c r="P6" s="10" t="str">
        <f t="shared" si="13"/>
        <v>T</v>
      </c>
      <c r="Q6" s="10" t="str">
        <f t="shared" si="13"/>
        <v>T</v>
      </c>
      <c r="R6" s="10" t="str">
        <f t="shared" si="13"/>
        <v>T</v>
      </c>
      <c r="S6" s="10" t="str">
        <f t="shared" si="13"/>
        <v>T</v>
      </c>
      <c r="T6" s="10" t="str">
        <f t="shared" si="13"/>
        <v>T</v>
      </c>
      <c r="U6" s="10" t="str">
        <f t="shared" si="13"/>
        <v>T</v>
      </c>
      <c r="V6" s="10" t="str">
        <f t="shared" si="13"/>
        <v>T</v>
      </c>
      <c r="W6" s="10" t="str">
        <f t="shared" si="13"/>
        <v>T</v>
      </c>
      <c r="X6" s="10" t="str">
        <f t="shared" si="13"/>
        <v>T</v>
      </c>
      <c r="Y6" s="10" t="str">
        <f t="shared" si="13"/>
        <v>T</v>
      </c>
      <c r="Z6" s="10" t="str">
        <f t="shared" si="13"/>
        <v>T</v>
      </c>
      <c r="AA6" s="10" t="str">
        <f t="shared" si="13"/>
        <v>T</v>
      </c>
      <c r="AB6" s="10" t="str">
        <f t="shared" si="13"/>
        <v>T</v>
      </c>
      <c r="AC6" s="10" t="str">
        <f t="shared" si="13"/>
        <v>T</v>
      </c>
      <c r="AD6" s="10" t="str">
        <f t="shared" si="13"/>
        <v>T</v>
      </c>
      <c r="AE6" s="10" t="str">
        <f t="shared" si="13"/>
        <v>T</v>
      </c>
      <c r="AF6" s="10" t="str">
        <f t="shared" si="13"/>
        <v>T</v>
      </c>
      <c r="AG6" s="10" t="str">
        <f t="shared" si="13"/>
        <v>T</v>
      </c>
      <c r="AH6" s="10" t="str">
        <f t="shared" si="13"/>
        <v>T</v>
      </c>
      <c r="AI6" s="10" t="str">
        <f t="shared" si="13"/>
        <v>T</v>
      </c>
      <c r="AJ6" s="10" t="str">
        <f t="shared" si="13"/>
        <v>T</v>
      </c>
      <c r="AK6" s="10" t="str">
        <f t="shared" si="13"/>
        <v>T</v>
      </c>
      <c r="AL6" s="10" t="str">
        <f t="shared" si="13"/>
        <v>T</v>
      </c>
      <c r="AM6" s="10" t="str">
        <f t="shared" si="13"/>
        <v>T</v>
      </c>
      <c r="AN6" s="10" t="str">
        <f t="shared" si="13"/>
        <v>T</v>
      </c>
      <c r="AO6" s="10" t="str">
        <f t="shared" ref="AO6:BL6" si="14">LEFT(TEXT(AO5,"TTT"),1)</f>
        <v>T</v>
      </c>
      <c r="AP6" s="10" t="str">
        <f t="shared" si="14"/>
        <v>T</v>
      </c>
      <c r="AQ6" s="10" t="str">
        <f t="shared" si="14"/>
        <v>T</v>
      </c>
      <c r="AR6" s="10" t="str">
        <f t="shared" si="14"/>
        <v>T</v>
      </c>
      <c r="AS6" s="10" t="str">
        <f t="shared" si="14"/>
        <v>T</v>
      </c>
      <c r="AT6" s="10" t="str">
        <f t="shared" si="14"/>
        <v>T</v>
      </c>
      <c r="AU6" s="10" t="str">
        <f t="shared" si="14"/>
        <v>T</v>
      </c>
      <c r="AV6" s="10" t="str">
        <f t="shared" si="14"/>
        <v>T</v>
      </c>
      <c r="AW6" s="10" t="str">
        <f t="shared" si="14"/>
        <v>T</v>
      </c>
      <c r="AX6" s="10" t="str">
        <f t="shared" si="14"/>
        <v>T</v>
      </c>
      <c r="AY6" s="10" t="str">
        <f t="shared" si="14"/>
        <v>T</v>
      </c>
      <c r="AZ6" s="10" t="str">
        <f t="shared" si="14"/>
        <v>T</v>
      </c>
      <c r="BA6" s="10" t="str">
        <f t="shared" si="14"/>
        <v>T</v>
      </c>
      <c r="BB6" s="10" t="str">
        <f t="shared" si="14"/>
        <v>T</v>
      </c>
      <c r="BC6" s="10" t="str">
        <f t="shared" si="14"/>
        <v>T</v>
      </c>
      <c r="BD6" s="10" t="str">
        <f t="shared" si="14"/>
        <v>T</v>
      </c>
      <c r="BE6" s="10" t="str">
        <f t="shared" si="14"/>
        <v>T</v>
      </c>
      <c r="BF6" s="10" t="str">
        <f t="shared" si="14"/>
        <v>T</v>
      </c>
      <c r="BG6" s="10" t="str">
        <f t="shared" si="14"/>
        <v>T</v>
      </c>
      <c r="BH6" s="10" t="str">
        <f t="shared" si="14"/>
        <v>T</v>
      </c>
      <c r="BI6" s="10" t="str">
        <f t="shared" si="14"/>
        <v>T</v>
      </c>
      <c r="BJ6" s="10" t="str">
        <f t="shared" si="14"/>
        <v>T</v>
      </c>
      <c r="BK6" s="10" t="str">
        <f t="shared" si="14"/>
        <v>T</v>
      </c>
      <c r="BL6" s="10" t="str">
        <f t="shared" si="14"/>
        <v>T</v>
      </c>
      <c r="BM6" s="10" t="str">
        <f t="shared" ref="BM6:BS6" si="15">LEFT(TEXT(BM5,"TTT"),1)</f>
        <v>T</v>
      </c>
      <c r="BN6" s="10" t="str">
        <f t="shared" si="15"/>
        <v>T</v>
      </c>
      <c r="BO6" s="10" t="str">
        <f t="shared" si="15"/>
        <v>T</v>
      </c>
      <c r="BP6" s="10" t="str">
        <f t="shared" si="15"/>
        <v>T</v>
      </c>
      <c r="BQ6" s="10" t="str">
        <f t="shared" si="15"/>
        <v>T</v>
      </c>
      <c r="BR6" s="10" t="str">
        <f t="shared" si="15"/>
        <v>T</v>
      </c>
      <c r="BS6" s="10" t="str">
        <f t="shared" si="15"/>
        <v>T</v>
      </c>
      <c r="BT6" s="10" t="str">
        <f t="shared" ref="BT6:BZ6" si="16">LEFT(TEXT(BT5,"TTT"),1)</f>
        <v>T</v>
      </c>
      <c r="BU6" s="10" t="str">
        <f t="shared" si="16"/>
        <v>T</v>
      </c>
      <c r="BV6" s="10" t="str">
        <f t="shared" si="16"/>
        <v>T</v>
      </c>
      <c r="BW6" s="10" t="str">
        <f t="shared" si="16"/>
        <v>T</v>
      </c>
      <c r="BX6" s="10" t="str">
        <f t="shared" si="16"/>
        <v>T</v>
      </c>
      <c r="BY6" s="10" t="str">
        <f t="shared" si="16"/>
        <v>T</v>
      </c>
      <c r="BZ6" s="10" t="str">
        <f t="shared" si="16"/>
        <v>T</v>
      </c>
    </row>
    <row r="7" spans="1:78" ht="30" hidden="1" customHeight="1" thickBot="1" x14ac:dyDescent="0.4">
      <c r="A7" s="36" t="s">
        <v>15</v>
      </c>
      <c r="C7" s="39"/>
      <c r="E7"/>
      <c r="H7"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row>
    <row r="8" spans="1:78" s="3" customFormat="1" ht="30" hidden="1" customHeight="1" thickBot="1" x14ac:dyDescent="0.4">
      <c r="A8" s="37" t="s">
        <v>16</v>
      </c>
      <c r="B8" s="15" t="s">
        <v>17</v>
      </c>
      <c r="C8" s="43"/>
      <c r="D8" s="16"/>
      <c r="E8" s="51"/>
      <c r="F8" s="52"/>
      <c r="G8" s="14"/>
      <c r="H8" s="14" t="str">
        <f t="shared" ref="H8:H21" si="17">IF(OR(ISBLANK(task_start),ISBLANK(task_end)),"",task_end-task_start+1)</f>
        <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row>
    <row r="9" spans="1:78" s="3" customFormat="1" ht="30" customHeight="1" thickBot="1" x14ac:dyDescent="0.4">
      <c r="A9" s="37" t="s">
        <v>18</v>
      </c>
      <c r="B9" s="67" t="s">
        <v>44</v>
      </c>
      <c r="C9" s="44" t="s">
        <v>19</v>
      </c>
      <c r="D9" s="17">
        <v>1</v>
      </c>
      <c r="E9" s="53">
        <f t="shared" ref="E9" si="18">Projektanfang</f>
        <v>46144</v>
      </c>
      <c r="F9" s="53">
        <f>E9+10</f>
        <v>46154</v>
      </c>
      <c r="G9" s="14"/>
      <c r="H9" s="14">
        <f t="shared" si="17"/>
        <v>11</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row>
    <row r="10" spans="1:78" s="3" customFormat="1" ht="30" customHeight="1" thickBot="1" x14ac:dyDescent="0.4">
      <c r="A10" s="37" t="s">
        <v>20</v>
      </c>
      <c r="B10" s="67" t="s">
        <v>45</v>
      </c>
      <c r="C10" s="44" t="s">
        <v>22</v>
      </c>
      <c r="D10" s="17">
        <v>1</v>
      </c>
      <c r="E10" s="53">
        <f t="shared" ref="E10:E18" si="19">F9</f>
        <v>46154</v>
      </c>
      <c r="F10" s="53">
        <f>E10+10</f>
        <v>46164</v>
      </c>
      <c r="G10" s="14"/>
      <c r="H10" s="14">
        <f t="shared" si="17"/>
        <v>11</v>
      </c>
      <c r="I10" s="22"/>
      <c r="J10" s="22"/>
      <c r="K10" s="22"/>
      <c r="L10" s="22"/>
      <c r="M10" s="22"/>
      <c r="N10" s="22"/>
      <c r="O10" s="22"/>
      <c r="P10" s="22"/>
      <c r="Q10" s="22"/>
      <c r="R10" s="22"/>
      <c r="S10" s="22"/>
      <c r="T10" s="22"/>
      <c r="U10" s="23"/>
      <c r="V10" s="23"/>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row>
    <row r="11" spans="1:78" s="3" customFormat="1" ht="30" customHeight="1" thickBot="1" x14ac:dyDescent="0.4">
      <c r="A11" s="36"/>
      <c r="B11" s="68" t="s">
        <v>50</v>
      </c>
      <c r="C11" s="44" t="s">
        <v>29</v>
      </c>
      <c r="D11" s="17">
        <v>1</v>
      </c>
      <c r="E11" s="53">
        <f t="shared" si="19"/>
        <v>46164</v>
      </c>
      <c r="F11" s="53">
        <f>E11+3</f>
        <v>46167</v>
      </c>
      <c r="G11" s="14"/>
      <c r="H11" s="14">
        <f t="shared" si="17"/>
        <v>4</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row>
    <row r="12" spans="1:78" s="3" customFormat="1" ht="30" customHeight="1" thickBot="1" x14ac:dyDescent="0.4">
      <c r="A12" s="36"/>
      <c r="B12" s="67" t="s">
        <v>46</v>
      </c>
      <c r="C12" s="44" t="s">
        <v>21</v>
      </c>
      <c r="D12" s="17">
        <v>0.15</v>
      </c>
      <c r="E12" s="53">
        <f t="shared" si="19"/>
        <v>46167</v>
      </c>
      <c r="F12" s="53">
        <f>E12+5</f>
        <v>46172</v>
      </c>
      <c r="G12" s="14"/>
      <c r="H12" s="14">
        <f t="shared" si="17"/>
        <v>6</v>
      </c>
      <c r="I12" s="22"/>
      <c r="J12" s="22"/>
      <c r="K12" s="22"/>
      <c r="L12" s="22"/>
      <c r="M12" s="22"/>
      <c r="N12" s="22"/>
      <c r="O12" s="22"/>
      <c r="P12" s="22"/>
      <c r="Q12" s="22"/>
      <c r="R12" s="22"/>
      <c r="S12" s="22"/>
      <c r="T12" s="22"/>
      <c r="U12" s="22"/>
      <c r="V12" s="22"/>
      <c r="W12" s="22"/>
      <c r="X12" s="22"/>
      <c r="Y12" s="23"/>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row>
    <row r="13" spans="1:78" s="3" customFormat="1" ht="30" customHeight="1" thickBot="1" x14ac:dyDescent="0.4">
      <c r="A13" s="36"/>
      <c r="B13" s="67" t="s">
        <v>47</v>
      </c>
      <c r="C13" s="44" t="s">
        <v>30</v>
      </c>
      <c r="D13" s="17">
        <v>0</v>
      </c>
      <c r="E13" s="53">
        <f>F11</f>
        <v>46167</v>
      </c>
      <c r="F13" s="53">
        <f>E13+5</f>
        <v>46172</v>
      </c>
      <c r="G13" s="14"/>
      <c r="H13" s="14">
        <f t="shared" si="17"/>
        <v>6</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row>
    <row r="14" spans="1:78" s="3" customFormat="1" ht="30" customHeight="1" thickBot="1" x14ac:dyDescent="0.4">
      <c r="A14" s="36"/>
      <c r="B14" s="67" t="s">
        <v>48</v>
      </c>
      <c r="C14" s="44" t="s">
        <v>19</v>
      </c>
      <c r="D14" s="17">
        <v>0</v>
      </c>
      <c r="E14" s="53">
        <f t="shared" si="19"/>
        <v>46172</v>
      </c>
      <c r="F14" s="53">
        <f>E14+5</f>
        <v>46177</v>
      </c>
      <c r="G14" s="14"/>
      <c r="H14" s="14"/>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row>
    <row r="15" spans="1:78" s="3" customFormat="1" ht="30" customHeight="1" thickBot="1" x14ac:dyDescent="0.4">
      <c r="A15" s="36"/>
      <c r="B15" s="67" t="s">
        <v>51</v>
      </c>
      <c r="C15" s="44" t="s">
        <v>19</v>
      </c>
      <c r="D15" s="17">
        <v>0</v>
      </c>
      <c r="E15" s="53">
        <f t="shared" si="19"/>
        <v>46177</v>
      </c>
      <c r="F15" s="53">
        <f t="shared" ref="F15:F18" si="20">E15+5</f>
        <v>46182</v>
      </c>
      <c r="G15" s="14"/>
      <c r="H15" s="14"/>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row>
    <row r="16" spans="1:78" s="3" customFormat="1" ht="30" customHeight="1" thickBot="1" x14ac:dyDescent="0.4">
      <c r="A16" s="36"/>
      <c r="B16" s="67" t="s">
        <v>49</v>
      </c>
      <c r="C16" s="44" t="s">
        <v>19</v>
      </c>
      <c r="D16" s="17">
        <v>0</v>
      </c>
      <c r="E16" s="53">
        <f t="shared" si="19"/>
        <v>46182</v>
      </c>
      <c r="F16" s="53">
        <f t="shared" si="20"/>
        <v>46187</v>
      </c>
      <c r="G16" s="14"/>
      <c r="H16" s="14"/>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row>
    <row r="17" spans="1:78" s="3" customFormat="1" ht="30" customHeight="1" thickBot="1" x14ac:dyDescent="0.4">
      <c r="A17" s="36"/>
      <c r="B17" s="67" t="s">
        <v>53</v>
      </c>
      <c r="C17" s="44" t="s">
        <v>19</v>
      </c>
      <c r="D17" s="17">
        <v>0</v>
      </c>
      <c r="E17" s="53">
        <f t="shared" si="19"/>
        <v>46187</v>
      </c>
      <c r="F17" s="53">
        <f t="shared" si="20"/>
        <v>46192</v>
      </c>
      <c r="G17" s="14"/>
      <c r="H17" s="14"/>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row>
    <row r="18" spans="1:78" s="3" customFormat="1" ht="30" customHeight="1" thickBot="1" x14ac:dyDescent="0.4">
      <c r="A18" s="36"/>
      <c r="B18" s="67" t="s">
        <v>52</v>
      </c>
      <c r="C18" s="44" t="s">
        <v>19</v>
      </c>
      <c r="D18" s="17">
        <v>0</v>
      </c>
      <c r="E18" s="53">
        <f t="shared" si="19"/>
        <v>46192</v>
      </c>
      <c r="F18" s="53">
        <f t="shared" si="20"/>
        <v>46197</v>
      </c>
      <c r="G18" s="14"/>
      <c r="H18" s="14"/>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row>
    <row r="19" spans="1:78" s="3" customFormat="1" ht="30" customHeight="1" thickBot="1" x14ac:dyDescent="0.4">
      <c r="A19" s="36" t="s">
        <v>23</v>
      </c>
      <c r="B19" s="46"/>
      <c r="C19" s="45"/>
      <c r="D19" s="13"/>
      <c r="E19" s="54"/>
      <c r="F19" s="54"/>
      <c r="G19" s="14"/>
      <c r="H19" s="14" t="str">
        <f t="shared" si="17"/>
        <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row>
    <row r="20" spans="1:78" s="3" customFormat="1" ht="30" customHeight="1" thickBot="1" x14ac:dyDescent="0.4">
      <c r="A20" s="36"/>
      <c r="B20" s="46"/>
      <c r="C20" s="45"/>
      <c r="D20" s="13"/>
      <c r="E20" s="54"/>
      <c r="F20" s="54"/>
      <c r="G20" s="14"/>
      <c r="H20" s="14"/>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row>
    <row r="21" spans="1:78" s="3" customFormat="1" ht="30" customHeight="1" thickBot="1" x14ac:dyDescent="0.4">
      <c r="A21" s="37" t="s">
        <v>24</v>
      </c>
      <c r="B21" s="18" t="s">
        <v>25</v>
      </c>
      <c r="C21" s="19"/>
      <c r="D21" s="20"/>
      <c r="E21" s="55"/>
      <c r="F21" s="56"/>
      <c r="G21" s="21"/>
      <c r="H21" s="21" t="str">
        <f t="shared" si="17"/>
        <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row>
    <row r="22" spans="1:78" ht="30" customHeight="1" x14ac:dyDescent="0.35">
      <c r="B22" s="48" t="s">
        <v>26</v>
      </c>
      <c r="G22" s="6"/>
    </row>
    <row r="23" spans="1:78" ht="30" customHeight="1" x14ac:dyDescent="0.35">
      <c r="B23" s="49" t="s">
        <v>27</v>
      </c>
      <c r="C23" s="11"/>
      <c r="F23" s="38"/>
    </row>
    <row r="24" spans="1:78" ht="30" customHeight="1" x14ac:dyDescent="0.35">
      <c r="B24" t="s">
        <v>28</v>
      </c>
      <c r="C24" s="12"/>
    </row>
    <row r="25" spans="1:78" ht="30" customHeight="1" x14ac:dyDescent="0.35">
      <c r="B25" t="s">
        <v>21</v>
      </c>
    </row>
    <row r="26" spans="1:78" ht="30" customHeight="1" x14ac:dyDescent="0.35">
      <c r="B26" t="s">
        <v>22</v>
      </c>
    </row>
    <row r="27" spans="1:78" ht="30" customHeight="1" x14ac:dyDescent="0.35">
      <c r="B27" t="s">
        <v>29</v>
      </c>
    </row>
    <row r="28" spans="1:78" ht="30" customHeight="1" x14ac:dyDescent="0.35">
      <c r="B28" t="s">
        <v>30</v>
      </c>
    </row>
    <row r="29" spans="1:78" ht="30" customHeight="1" x14ac:dyDescent="0.35">
      <c r="B29" t="s">
        <v>19</v>
      </c>
    </row>
  </sheetData>
  <mergeCells count="13">
    <mergeCell ref="BM4:BS4"/>
    <mergeCell ref="BT4:BZ4"/>
    <mergeCell ref="C3:D3"/>
    <mergeCell ref="C4:D4"/>
    <mergeCell ref="AK4:AQ4"/>
    <mergeCell ref="AR4:AX4"/>
    <mergeCell ref="AY4:BE4"/>
    <mergeCell ref="BF4:BL4"/>
    <mergeCell ref="E3:F3"/>
    <mergeCell ref="I4:O4"/>
    <mergeCell ref="P4:V4"/>
    <mergeCell ref="W4:AC4"/>
    <mergeCell ref="AD4:AJ4"/>
  </mergeCells>
  <conditionalFormatting sqref="D7:D21">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Y21">
    <cfRule type="expression" dxfId="4" priority="3">
      <formula>AND(TODAY()&gt;=I$5,TODAY()&lt;J$5)</formula>
    </cfRule>
  </conditionalFormatting>
  <conditionalFormatting sqref="I7:BY21">
    <cfRule type="expression" dxfId="3" priority="2" stopIfTrue="1">
      <formula>AND(task_end&gt;=I$5,task_start&lt;J$5)</formula>
    </cfRule>
  </conditionalFormatting>
  <conditionalFormatting sqref="I7:BZ21">
    <cfRule type="expression" dxfId="2" priority="1">
      <formula>AND(task_start&lt;=I$5,ROUNDDOWN((task_end-task_start+1)*task_progress,0)+task_start-1&gt;=I$5)</formula>
    </cfRule>
  </conditionalFormatting>
  <conditionalFormatting sqref="BZ5:BZ21">
    <cfRule type="expression" dxfId="1" priority="25">
      <formula>AND(TODAY()&gt;=BZ$5,TODAY()&lt;#REF!)</formula>
    </cfRule>
  </conditionalFormatting>
  <conditionalFormatting sqref="BZ7:BZ21">
    <cfRule type="expression" dxfId="0" priority="29" stopIfTrue="1">
      <formula>AND(task_end&gt;=BZ$5,task_start&lt;#REF!)</formula>
    </cfRule>
  </conditionalFormatting>
  <dataValidations xWindow="759" yWindow="597" count="3">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 type="list" allowBlank="1" showInputMessage="1" showErrorMessage="1" sqref="C12:C18" xr:uid="{C7C5793A-F5EC-4E4A-A49C-C2A0FDED6B81}">
      <formula1>$B$25:$B$29</formula1>
    </dataValidation>
    <dataValidation type="list" errorStyle="warning" allowBlank="1" sqref="C9:C11" xr:uid="{C2F53430-D7D1-448D-AF40-B7EAF0435287}">
      <formula1>$B$25:$B$29</formula1>
    </dataValidation>
  </dataValidations>
  <hyperlinks>
    <hyperlink ref="B23" r:id="rId1" xr:uid="{00000000-0004-0000-0000-000000000000}"/>
    <hyperlink ref="B22"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796875" defaultRowHeight="13" x14ac:dyDescent="0.3"/>
  <cols>
    <col min="1" max="1" width="104.7265625" style="26" bestFit="1" customWidth="1"/>
    <col min="2" max="16384" width="9.1796875" style="2"/>
  </cols>
  <sheetData>
    <row r="1" spans="1:2" ht="46.5" customHeight="1" x14ac:dyDescent="0.3"/>
    <row r="2" spans="1:2" s="28" customFormat="1" ht="15.5" x14ac:dyDescent="0.35">
      <c r="A2" s="27" t="s">
        <v>26</v>
      </c>
      <c r="B2" s="27"/>
    </row>
    <row r="3" spans="1:2" s="32" customFormat="1" ht="27" customHeight="1" x14ac:dyDescent="0.35">
      <c r="A3" s="50" t="s">
        <v>27</v>
      </c>
      <c r="B3" s="33"/>
    </row>
    <row r="4" spans="1:2" s="29" customFormat="1" ht="26" x14ac:dyDescent="0.6">
      <c r="A4" s="30" t="s">
        <v>31</v>
      </c>
    </row>
    <row r="5" spans="1:2" ht="74.150000000000006" customHeight="1" x14ac:dyDescent="0.3">
      <c r="A5" s="31" t="s">
        <v>32</v>
      </c>
    </row>
    <row r="6" spans="1:2" ht="26.25" customHeight="1" x14ac:dyDescent="0.3">
      <c r="A6" s="30" t="s">
        <v>33</v>
      </c>
    </row>
    <row r="7" spans="1:2" s="26" customFormat="1" ht="205" customHeight="1" x14ac:dyDescent="0.35">
      <c r="A7" s="35" t="s">
        <v>34</v>
      </c>
    </row>
    <row r="8" spans="1:2" s="29" customFormat="1" ht="26" x14ac:dyDescent="0.6">
      <c r="A8" s="30" t="s">
        <v>35</v>
      </c>
    </row>
    <row r="9" spans="1:2" ht="60" customHeight="1" x14ac:dyDescent="0.3">
      <c r="A9" s="31" t="s">
        <v>36</v>
      </c>
    </row>
    <row r="10" spans="1:2" s="26" customFormat="1" ht="28" customHeight="1" x14ac:dyDescent="0.35">
      <c r="A10" s="34" t="s">
        <v>37</v>
      </c>
    </row>
    <row r="11" spans="1:2" s="29" customFormat="1" ht="26" x14ac:dyDescent="0.6">
      <c r="A11" s="30" t="s">
        <v>38</v>
      </c>
    </row>
    <row r="12" spans="1:2" ht="30" customHeight="1" x14ac:dyDescent="0.3">
      <c r="A12" s="31" t="s">
        <v>39</v>
      </c>
    </row>
    <row r="13" spans="1:2" s="26" customFormat="1" ht="28" customHeight="1" x14ac:dyDescent="0.35">
      <c r="A13" s="34" t="s">
        <v>40</v>
      </c>
    </row>
    <row r="14" spans="1:2" s="29" customFormat="1" ht="26" x14ac:dyDescent="0.6">
      <c r="A14" s="30" t="s">
        <v>41</v>
      </c>
    </row>
    <row r="15" spans="1:2" ht="75" customHeight="1" x14ac:dyDescent="0.3">
      <c r="A15" s="31" t="s">
        <v>42</v>
      </c>
    </row>
    <row r="16" spans="1:2" ht="75" customHeight="1" x14ac:dyDescent="0.3">
      <c r="A16" s="31" t="s">
        <v>43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6124553077A64E8E7F47ED26C6EFE7" ma:contentTypeVersion="3" ma:contentTypeDescription="Create a new document." ma:contentTypeScope="" ma:versionID="1dd6a3a3a406125d3f5fc8b7c2c4092c">
  <xsd:schema xmlns:xsd="http://www.w3.org/2001/XMLSchema" xmlns:xs="http://www.w3.org/2001/XMLSchema" xmlns:p="http://schemas.microsoft.com/office/2006/metadata/properties" xmlns:ns2="d7b793b8-8e2b-4d63-9c40-a8541cfa6282" targetNamespace="http://schemas.microsoft.com/office/2006/metadata/properties" ma:root="true" ma:fieldsID="e60394c5edf3f756d8dda8fecee9873f" ns2:_="">
    <xsd:import namespace="d7b793b8-8e2b-4d63-9c40-a8541cfa628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793b8-8e2b-4d63-9c40-a8541cfa62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39E9518-F284-41FA-B5FA-84E49071B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793b8-8e2b-4d63-9c40-a8541cfa6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Gantt chart</vt:lpstr>
      <vt:lpstr>Info</vt:lpstr>
      <vt:lpstr>Anzeigewoche</vt:lpstr>
      <vt:lpstr>'Gantt chart'!Print_Titles</vt:lpstr>
      <vt:lpstr>Projektanfang</vt:lpstr>
      <vt:lpstr>'Gantt chart'!task_end</vt:lpstr>
      <vt:lpstr>'Gantt chart'!task_progress</vt:lpstr>
      <vt:lpstr>'Gantt chart'!task_start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2026-05-29T15:54:02Z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0x010100FE6124553077A64E8E7F47ED26C6EFE7</vt:lpwstr>
  </property>
</Properties>
</file>